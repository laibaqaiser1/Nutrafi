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BOOK\Downloads\"/>
    </mc:Choice>
  </mc:AlternateContent>
  <xr:revisionPtr revIDLastSave="0" documentId="8_{2A9F8A71-C615-46E7-964C-57A30336A3F5}" xr6:coauthVersionLast="47" xr6:coauthVersionMax="47" xr10:uidLastSave="{00000000-0000-0000-0000-000000000000}"/>
  <bookViews>
    <workbookView xWindow="-110" yWindow="-110" windowWidth="19420" windowHeight="10300" xr2:uid="{34D72B62-705D-49B8-9634-58569CE49A71}"/>
  </bookViews>
  <sheets>
    <sheet name="MASTER" sheetId="1" r:id="rId1"/>
  </sheets>
  <definedNames>
    <definedName name="_xlnm._FilterDatabase" localSheetId="0" hidden="1">MASTER!$A$2:$K$19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E18" i="1"/>
  <c r="E17" i="1"/>
  <c r="E16" i="1"/>
  <c r="E15" i="1"/>
  <c r="E14" i="1"/>
  <c r="E13" i="1"/>
  <c r="E12" i="1"/>
  <c r="E11" i="1"/>
  <c r="E10" i="1"/>
  <c r="E8" i="1"/>
  <c r="E5" i="1"/>
  <c r="G3" i="1"/>
  <c r="E3" i="1"/>
</calcChain>
</file>

<file path=xl/sharedStrings.xml><?xml version="1.0" encoding="utf-8"?>
<sst xmlns="http://schemas.openxmlformats.org/spreadsheetml/2006/main" count="77" uniqueCount="50">
  <si>
    <t>Sr. No.</t>
  </si>
  <si>
    <t>Nutrafi Kitchen – MENU</t>
  </si>
  <si>
    <t>Ingredients</t>
  </si>
  <si>
    <t>Allergens</t>
  </si>
  <si>
    <t>Calories</t>
  </si>
  <si>
    <t>Protein(g)</t>
  </si>
  <si>
    <t>Carbs(g)</t>
  </si>
  <si>
    <t>Fat(g)</t>
  </si>
  <si>
    <t>B/S/P/</t>
  </si>
  <si>
    <t>Dairy</t>
  </si>
  <si>
    <t>None</t>
  </si>
  <si>
    <t>P</t>
  </si>
  <si>
    <t>Fish</t>
  </si>
  <si>
    <t>Sesame</t>
  </si>
  <si>
    <t>Gluten</t>
  </si>
  <si>
    <t>Gluten, Shellfish</t>
  </si>
  <si>
    <t>Tender Chicken Clean Bowl with sweet potato</t>
  </si>
  <si>
    <t>chicken breast, Olive oil, chickpeas and corn, sweet potato</t>
  </si>
  <si>
    <t>salmon, sweet potato, chickpeas and corn</t>
  </si>
  <si>
    <t>chicken breast, sweet potato, BBQ cream sauce, cucumber and carrot.</t>
  </si>
  <si>
    <t>chicken breast, sweet potato, mushrooms, light cream sauce, cucumber and carrot.</t>
  </si>
  <si>
    <t>Beef, sweet potato, Mongolian sauce, cucumber and carrot, sesame seed</t>
  </si>
  <si>
    <t>chicken breast, sweet potato, buffalo sauce, breadcrumbs, cucumber and carrot.</t>
  </si>
  <si>
    <t>chicken breast, sweet potato, Korean sauce, cucumber and carrot.</t>
  </si>
  <si>
    <t xml:space="preserve">shrimp, sweet potato, dynamite sauce, breadcrumbs, cucumber and carrot </t>
  </si>
  <si>
    <t>chicken breast, sweet potato, Thai curry sauce, cucumber and carrot.</t>
  </si>
  <si>
    <t>salmon, sweet potato, lemon sauce, broccoli.</t>
  </si>
  <si>
    <t>chicken breast, sweet potato, salt, pepper, garam masala, paprika, parsley, capsicum, and white onion</t>
  </si>
  <si>
    <t>beef mince, sweet potato, salt, pepper, garam masala, paprika, parsley, capsicum, and white onion</t>
  </si>
  <si>
    <t>beef mince, yellow sweet potato, salt, pepper, garam masala, paprika, parsley, capsicum, white onion, red sauce, cucumber and carrot.</t>
  </si>
  <si>
    <t>chicken breast, sweet potato, potato</t>
  </si>
  <si>
    <t>chicken breast, sweet potato, honey mustard sauce, carrot and cucumber, parsley.</t>
  </si>
  <si>
    <t>white fish, tomato, mango, onion, parsley, lemon dressing, white sweet potato</t>
  </si>
  <si>
    <t>white fish, sweet potato, lemon, coriander sauce</t>
  </si>
  <si>
    <t>Chicken Mushroom with sweet potato</t>
  </si>
  <si>
    <t>Beef Mongolian with sweet potato</t>
  </si>
  <si>
    <t>Chicken Buffalo with sweet potato</t>
  </si>
  <si>
    <t>Chicken Korean with sweet potato</t>
  </si>
  <si>
    <t>Shrimp Dynamite with sweet potato</t>
  </si>
  <si>
    <t>Chicken Thai With sweet potato</t>
  </si>
  <si>
    <t>Salmon Lemon Sauce with sweet potato</t>
  </si>
  <si>
    <t>Chicken Kofta with sweet potato</t>
  </si>
  <si>
    <t>Beef Kofta with sweet potato</t>
  </si>
  <si>
    <t>Beef Mince with Yellow sweet potato</t>
  </si>
  <si>
    <t>Chicken Honey Mustard with sweet potato</t>
  </si>
  <si>
    <t>Fish Mango Salsa with sweet potato</t>
  </si>
  <si>
    <t>White Fish with sweet potato</t>
  </si>
  <si>
    <t>Grilled Salmon Bowl with sweet potato</t>
  </si>
  <si>
    <t>Chicken BBQ Light Cream with sweet potato</t>
  </si>
  <si>
    <t>Grilled Chicken with sweet potato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</si>
</sst>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1" fontId="1" fillId="2" borderId="1" xfId="0" applyNumberFormat="1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1" fontId="2" fillId="3" borderId="2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vertical="center" wrapText="1"/>
    </xf>
    <xf numFmtId="1" fontId="3" fillId="5" borderId="2" xfId="0" applyNumberFormat="1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center" vertical="center" wrapText="1"/>
    </xf>
    <xf numFmtId="1" fontId="3" fillId="6" borderId="2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BBBFF-8C60-435D-A29C-2D22137087BB}">
  <sheetPr>
    <outlinePr summaryBelow="0" summaryRight="0"/>
  </sheetPr>
  <dimension ref="A1:I19"/>
  <sheetViews>
    <sheetView tabSelected="1" zoomScale="85" zoomScaleNormal="85" workbookViewId="0">
      <pane ySplit="2" topLeftCell="A3" activePane="bottomLeft" state="frozen"/>
      <selection pane="bottomLeft" activeCell="G7" sqref="G7"/>
    </sheetView>
  </sheetViews>
  <sheetFormatPr defaultColWidth="8.90625" defaultRowHeight="14.5" x14ac:dyDescent="0.35"/>
  <cols>
    <col min="1" max="1" width="6.1796875" style="1" customWidth="1"/>
    <col min="2" max="2" width="23.81640625" style="1" customWidth="1"/>
    <col min="3" max="3" width="39.81640625" style="1" customWidth="1"/>
    <col min="4" max="4" width="19.08984375" style="2" customWidth="1"/>
    <col min="5" max="8" width="13.81640625" style="18" customWidth="1"/>
    <col min="9" max="9" width="8.90625" style="1" customWidth="1"/>
    <col min="10" max="16384" width="8.90625" style="1"/>
  </cols>
  <sheetData>
    <row r="1" spans="1:9" x14ac:dyDescent="0.35">
      <c r="E1" s="3"/>
      <c r="F1" s="3"/>
      <c r="G1" s="3"/>
      <c r="H1" s="3"/>
    </row>
    <row r="2" spans="1:9" ht="37" x14ac:dyDescent="0.35">
      <c r="A2" s="4" t="s">
        <v>0</v>
      </c>
      <c r="B2" s="5" t="s">
        <v>1</v>
      </c>
      <c r="C2" s="5" t="s">
        <v>2</v>
      </c>
      <c r="D2" s="4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</row>
    <row r="3" spans="1:9" ht="49.5" customHeight="1" x14ac:dyDescent="0.35">
      <c r="A3" s="7">
        <v>19</v>
      </c>
      <c r="B3" s="14" t="s">
        <v>16</v>
      </c>
      <c r="C3" s="15" t="s">
        <v>17</v>
      </c>
      <c r="D3" s="16" t="s">
        <v>10</v>
      </c>
      <c r="E3" s="17">
        <f>580-50</f>
        <v>530</v>
      </c>
      <c r="F3" s="17">
        <v>51</v>
      </c>
      <c r="G3" s="17">
        <f>44-10</f>
        <v>34</v>
      </c>
      <c r="H3" s="17">
        <v>20</v>
      </c>
      <c r="I3" s="17" t="s">
        <v>11</v>
      </c>
    </row>
    <row r="4" spans="1:9" ht="49.5" customHeight="1" x14ac:dyDescent="0.35">
      <c r="A4" s="7">
        <v>20</v>
      </c>
      <c r="B4" s="12" t="s">
        <v>47</v>
      </c>
      <c r="C4" s="8" t="s">
        <v>18</v>
      </c>
      <c r="D4" s="9" t="s">
        <v>12</v>
      </c>
      <c r="E4" s="10">
        <v>470</v>
      </c>
      <c r="F4" s="11">
        <v>38</v>
      </c>
      <c r="G4" s="11">
        <v>33</v>
      </c>
      <c r="H4" s="11">
        <v>21</v>
      </c>
      <c r="I4" s="11" t="s">
        <v>11</v>
      </c>
    </row>
    <row r="5" spans="1:9" ht="49.5" customHeight="1" x14ac:dyDescent="0.35">
      <c r="A5" s="7">
        <v>21</v>
      </c>
      <c r="B5" s="12" t="s">
        <v>48</v>
      </c>
      <c r="C5" s="8" t="s">
        <v>19</v>
      </c>
      <c r="D5" s="9" t="s">
        <v>9</v>
      </c>
      <c r="E5" s="10">
        <f>465-50</f>
        <v>415</v>
      </c>
      <c r="F5" s="11">
        <v>51</v>
      </c>
      <c r="G5" s="11">
        <v>31</v>
      </c>
      <c r="H5" s="13">
        <v>9</v>
      </c>
      <c r="I5" s="11" t="s">
        <v>11</v>
      </c>
    </row>
    <row r="6" spans="1:9" ht="49.5" customHeight="1" x14ac:dyDescent="0.35">
      <c r="A6" s="7">
        <v>22</v>
      </c>
      <c r="B6" s="12" t="s">
        <v>34</v>
      </c>
      <c r="C6" s="8" t="s">
        <v>20</v>
      </c>
      <c r="D6" s="9" t="s">
        <v>9</v>
      </c>
      <c r="E6" s="10">
        <v>405</v>
      </c>
      <c r="F6" s="11">
        <v>52</v>
      </c>
      <c r="G6" s="11">
        <v>27</v>
      </c>
      <c r="H6" s="13">
        <v>9</v>
      </c>
      <c r="I6" s="11" t="s">
        <v>11</v>
      </c>
    </row>
    <row r="7" spans="1:9" ht="49.5" customHeight="1" x14ac:dyDescent="0.35">
      <c r="A7" s="7">
        <v>23</v>
      </c>
      <c r="B7" s="12" t="s">
        <v>35</v>
      </c>
      <c r="C7" s="8" t="s">
        <v>21</v>
      </c>
      <c r="D7" s="9" t="s">
        <v>13</v>
      </c>
      <c r="E7" s="10">
        <v>390</v>
      </c>
      <c r="F7" s="11">
        <v>44</v>
      </c>
      <c r="G7" s="11">
        <v>33</v>
      </c>
      <c r="H7" s="13">
        <v>9</v>
      </c>
      <c r="I7" s="11" t="s">
        <v>11</v>
      </c>
    </row>
    <row r="8" spans="1:9" ht="49.5" customHeight="1" x14ac:dyDescent="0.35">
      <c r="A8" s="7">
        <v>24</v>
      </c>
      <c r="B8" s="12" t="s">
        <v>36</v>
      </c>
      <c r="C8" s="8" t="s">
        <v>22</v>
      </c>
      <c r="D8" s="9" t="s">
        <v>14</v>
      </c>
      <c r="E8" s="10">
        <f>515-50</f>
        <v>465</v>
      </c>
      <c r="F8" s="11">
        <v>51</v>
      </c>
      <c r="G8" s="11">
        <v>44</v>
      </c>
      <c r="H8" s="11">
        <v>10</v>
      </c>
      <c r="I8" s="11" t="s">
        <v>11</v>
      </c>
    </row>
    <row r="9" spans="1:9" ht="49.5" customHeight="1" x14ac:dyDescent="0.35">
      <c r="A9" s="7">
        <v>25</v>
      </c>
      <c r="B9" s="12" t="s">
        <v>37</v>
      </c>
      <c r="C9" s="8" t="s">
        <v>23</v>
      </c>
      <c r="D9" s="9" t="s">
        <v>10</v>
      </c>
      <c r="E9" s="10">
        <v>400</v>
      </c>
      <c r="F9" s="13">
        <v>50</v>
      </c>
      <c r="G9" s="13">
        <v>34</v>
      </c>
      <c r="H9" s="13">
        <v>6</v>
      </c>
      <c r="I9" s="11" t="s">
        <v>11</v>
      </c>
    </row>
    <row r="10" spans="1:9" ht="49.5" customHeight="1" x14ac:dyDescent="0.35">
      <c r="A10" s="7">
        <v>26</v>
      </c>
      <c r="B10" s="12" t="s">
        <v>38</v>
      </c>
      <c r="C10" s="8" t="s">
        <v>24</v>
      </c>
      <c r="D10" s="9" t="s">
        <v>15</v>
      </c>
      <c r="E10" s="10">
        <f>576-50</f>
        <v>526</v>
      </c>
      <c r="F10" s="13">
        <v>44</v>
      </c>
      <c r="G10" s="13">
        <v>46</v>
      </c>
      <c r="H10" s="13">
        <v>12</v>
      </c>
      <c r="I10" s="11" t="s">
        <v>11</v>
      </c>
    </row>
    <row r="11" spans="1:9" ht="49.5" customHeight="1" x14ac:dyDescent="0.35">
      <c r="A11" s="7">
        <v>27</v>
      </c>
      <c r="B11" s="12" t="s">
        <v>39</v>
      </c>
      <c r="C11" s="8" t="s">
        <v>25</v>
      </c>
      <c r="D11" s="9" t="s">
        <v>10</v>
      </c>
      <c r="E11" s="10">
        <f>465-50</f>
        <v>415</v>
      </c>
      <c r="F11" s="13">
        <v>49</v>
      </c>
      <c r="G11" s="13">
        <v>35</v>
      </c>
      <c r="H11" s="13">
        <v>7</v>
      </c>
      <c r="I11" s="11" t="s">
        <v>11</v>
      </c>
    </row>
    <row r="12" spans="1:9" ht="49.5" customHeight="1" x14ac:dyDescent="0.35">
      <c r="A12" s="7">
        <v>28</v>
      </c>
      <c r="B12" s="12" t="s">
        <v>40</v>
      </c>
      <c r="C12" s="8" t="s">
        <v>26</v>
      </c>
      <c r="D12" s="9" t="s">
        <v>12</v>
      </c>
      <c r="E12" s="10">
        <f>530-50</f>
        <v>480</v>
      </c>
      <c r="F12" s="13">
        <v>38</v>
      </c>
      <c r="G12" s="13">
        <v>31</v>
      </c>
      <c r="H12" s="13">
        <v>21</v>
      </c>
      <c r="I12" s="11" t="s">
        <v>11</v>
      </c>
    </row>
    <row r="13" spans="1:9" ht="49.5" customHeight="1" x14ac:dyDescent="0.35">
      <c r="A13" s="7">
        <v>29</v>
      </c>
      <c r="B13" s="12" t="s">
        <v>41</v>
      </c>
      <c r="C13" s="8" t="s">
        <v>27</v>
      </c>
      <c r="D13" s="9" t="s">
        <v>10</v>
      </c>
      <c r="E13" s="10">
        <f>405-50</f>
        <v>355</v>
      </c>
      <c r="F13" s="13">
        <v>48</v>
      </c>
      <c r="G13" s="13">
        <v>27</v>
      </c>
      <c r="H13" s="13">
        <v>6</v>
      </c>
      <c r="I13" s="11" t="s">
        <v>11</v>
      </c>
    </row>
    <row r="14" spans="1:9" ht="49.5" customHeight="1" x14ac:dyDescent="0.35">
      <c r="A14" s="7">
        <v>30</v>
      </c>
      <c r="B14" s="12" t="s">
        <v>42</v>
      </c>
      <c r="C14" s="8" t="s">
        <v>28</v>
      </c>
      <c r="D14" s="9" t="s">
        <v>10</v>
      </c>
      <c r="E14" s="10">
        <f>490-50</f>
        <v>440</v>
      </c>
      <c r="F14" s="13">
        <v>39</v>
      </c>
      <c r="G14" s="13">
        <v>36</v>
      </c>
      <c r="H14" s="13">
        <v>20</v>
      </c>
      <c r="I14" s="11" t="s">
        <v>11</v>
      </c>
    </row>
    <row r="15" spans="1:9" ht="49.5" customHeight="1" x14ac:dyDescent="0.35">
      <c r="A15" s="7">
        <v>31</v>
      </c>
      <c r="B15" s="12" t="s">
        <v>43</v>
      </c>
      <c r="C15" s="8" t="s">
        <v>29</v>
      </c>
      <c r="D15" s="9" t="s">
        <v>10</v>
      </c>
      <c r="E15" s="10">
        <f>520-50</f>
        <v>470</v>
      </c>
      <c r="F15" s="13">
        <v>40</v>
      </c>
      <c r="G15" s="13">
        <v>34</v>
      </c>
      <c r="H15" s="13">
        <v>20</v>
      </c>
      <c r="I15" s="11" t="s">
        <v>11</v>
      </c>
    </row>
    <row r="16" spans="1:9" ht="49.5" customHeight="1" x14ac:dyDescent="0.35">
      <c r="A16" s="7">
        <v>32</v>
      </c>
      <c r="B16" s="12" t="s">
        <v>49</v>
      </c>
      <c r="C16" s="8" t="s">
        <v>30</v>
      </c>
      <c r="D16" s="9" t="s">
        <v>10</v>
      </c>
      <c r="E16" s="10">
        <f>480-50</f>
        <v>430</v>
      </c>
      <c r="F16" s="13">
        <v>50</v>
      </c>
      <c r="G16" s="13">
        <v>44</v>
      </c>
      <c r="H16" s="13">
        <v>6</v>
      </c>
      <c r="I16" s="11" t="s">
        <v>11</v>
      </c>
    </row>
    <row r="17" spans="1:9" ht="49.5" customHeight="1" x14ac:dyDescent="0.35">
      <c r="A17" s="7">
        <v>33</v>
      </c>
      <c r="B17" s="12" t="s">
        <v>44</v>
      </c>
      <c r="C17" s="8" t="s">
        <v>31</v>
      </c>
      <c r="D17" s="9" t="s">
        <v>10</v>
      </c>
      <c r="E17" s="10">
        <f>460-50</f>
        <v>410</v>
      </c>
      <c r="F17" s="13">
        <v>49</v>
      </c>
      <c r="G17" s="13">
        <v>34</v>
      </c>
      <c r="H17" s="13">
        <v>8</v>
      </c>
      <c r="I17" s="11" t="s">
        <v>11</v>
      </c>
    </row>
    <row r="18" spans="1:9" ht="49.5" customHeight="1" x14ac:dyDescent="0.35">
      <c r="A18" s="7">
        <v>34</v>
      </c>
      <c r="B18" s="12" t="s">
        <v>45</v>
      </c>
      <c r="C18" s="8" t="s">
        <v>32</v>
      </c>
      <c r="D18" s="9" t="s">
        <v>12</v>
      </c>
      <c r="E18" s="10">
        <f>427-50</f>
        <v>377</v>
      </c>
      <c r="F18" s="13">
        <v>37</v>
      </c>
      <c r="G18" s="13">
        <v>39</v>
      </c>
      <c r="H18" s="13">
        <v>9</v>
      </c>
      <c r="I18" s="11" t="s">
        <v>11</v>
      </c>
    </row>
    <row r="19" spans="1:9" ht="49.5" customHeight="1" x14ac:dyDescent="0.35">
      <c r="A19" s="7">
        <v>35</v>
      </c>
      <c r="B19" s="12" t="s">
        <v>46</v>
      </c>
      <c r="C19" s="8" t="s">
        <v>33</v>
      </c>
      <c r="D19" s="9" t="s">
        <v>12</v>
      </c>
      <c r="E19" s="10">
        <f>354-50</f>
        <v>304</v>
      </c>
      <c r="F19" s="13">
        <v>40</v>
      </c>
      <c r="G19" s="13">
        <v>28</v>
      </c>
      <c r="H19" s="13">
        <v>4</v>
      </c>
      <c r="I19" s="11" t="s">
        <v>11</v>
      </c>
    </row>
  </sheetData>
  <autoFilter ref="A2:K19" xr:uid="{1CD8D7D9-2326-4A07-8DCD-E7BF3B584B45}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Suleman</dc:creator>
  <cp:lastModifiedBy>Abdullah Suleman</cp:lastModifiedBy>
  <dcterms:created xsi:type="dcterms:W3CDTF">2026-03-08T13:06:34Z</dcterms:created>
  <dcterms:modified xsi:type="dcterms:W3CDTF">2026-03-08T13:16:02Z</dcterms:modified>
</cp:coreProperties>
</file>